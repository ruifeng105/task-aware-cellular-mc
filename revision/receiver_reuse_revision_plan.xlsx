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补强清单" sheetId="1" state="visible" r:id="rId1"/>
    <sheet xmlns:r="http://schemas.openxmlformats.org/officeDocument/2006/relationships" name="进度汇总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'补强清单'!$A$1:$M$16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family val="2"/>
      <b val="1"/>
      <sz val="10"/>
    </font>
    <font>
      <name val="Arial"/>
      <charset val="1"/>
      <family val="0"/>
      <b val="1"/>
      <sz val="10"/>
    </font>
    <font>
      <name val="Noto Sans CJK SC"/>
      <family val="2"/>
      <i val="1"/>
      <sz val="9"/>
    </font>
    <font>
      <name val="Arial"/>
      <charset val="1"/>
      <family val="0"/>
      <i val="1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DDEBF7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top" wrapText="1"/>
    </xf>
    <xf numFmtId="164" fontId="6" fillId="3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9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9" fontId="9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top" wrapText="1"/>
    </xf>
    <xf numFmtId="164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9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9" fontId="9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D9D9D9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D9D9D9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1" min="1" max="1"/>
    <col width="8" customWidth="1" style="21" min="2" max="2"/>
    <col width="20" customWidth="1" style="21" min="3" max="3"/>
    <col width="52" customWidth="1" style="21" min="4" max="4"/>
    <col width="22" customWidth="1" style="21" min="5" max="6"/>
    <col width="10" customWidth="1" style="21" min="7" max="10"/>
    <col width="12" customWidth="1" style="21" min="11" max="12"/>
    <col width="60" customWidth="1" style="21" min="13" max="13"/>
  </cols>
  <sheetData>
    <row r="1" ht="21.75" customHeight="1" s="22">
      <c r="A1" s="23" t="inlineStr">
        <is>
          <t>编号</t>
        </is>
      </c>
      <c r="B1" s="23" t="inlineStr">
        <is>
          <t>优先级</t>
        </is>
      </c>
      <c r="C1" s="23" t="inlineStr">
        <is>
          <t>补强点</t>
        </is>
      </c>
      <c r="D1" s="23" t="inlineStr">
        <is>
          <t>具体做法</t>
        </is>
      </c>
      <c r="E1" s="23" t="inlineStr">
        <is>
          <t>涉及章节/图表</t>
        </is>
      </c>
      <c r="F1" s="23" t="inlineStr">
        <is>
          <t>解决的问题</t>
        </is>
      </c>
      <c r="G1" s="23" t="inlineStr">
        <is>
          <t>类型</t>
        </is>
      </c>
      <c r="H1" s="23" t="inlineStr">
        <is>
          <t>预估工作量</t>
        </is>
      </c>
      <c r="I1" s="23" t="inlineStr">
        <is>
          <t>最小必做集</t>
        </is>
      </c>
      <c r="J1" s="23" t="inlineStr">
        <is>
          <t>状态</t>
        </is>
      </c>
      <c r="K1" s="23" t="inlineStr">
        <is>
          <t>负责人</t>
        </is>
      </c>
      <c r="L1" s="23" t="inlineStr">
        <is>
          <t>截止日期</t>
        </is>
      </c>
      <c r="M1" s="23" t="inlineStr">
        <is>
          <t>备注</t>
        </is>
      </c>
    </row>
    <row r="2" ht="29.85" customHeight="1" s="22">
      <c r="A2" s="24" t="n">
        <v>1</v>
      </c>
      <c r="B2" s="24" t="inlineStr">
        <is>
          <t>P0</t>
        </is>
      </c>
      <c r="C2" s="25" t="inlineStr">
        <is>
          <t>结论前后一致</t>
        </is>
      </c>
      <c r="D2" s="25" t="inlineStr">
        <is>
          <t>摘要和贡献中补上负面结果（机理增量在 next-command 窗口失效）；给出量化增益；弱化“unified view”</t>
        </is>
      </c>
      <c r="E2" s="26" t="inlineStr">
        <is>
          <t>Abstract、I、VI</t>
        </is>
      </c>
      <c r="F2" s="25" t="inlineStr">
        <is>
          <t>结论被认为夸大</t>
        </is>
      </c>
      <c r="G2" s="27" t="inlineStr">
        <is>
          <t>改写</t>
        </is>
      </c>
      <c r="H2" s="27" t="inlineStr">
        <is>
          <t>低</t>
        </is>
      </c>
      <c r="I2" s="27" t="inlineStr">
        <is>
          <t>是</t>
        </is>
      </c>
      <c r="J2" s="28" t="inlineStr">
        <is>
          <t>已完成</t>
        </is>
      </c>
      <c r="K2" s="29" t="inlineStr">
        <is>
          <t>Claude Code（待 Ruifeng 审阅）</t>
        </is>
      </c>
      <c r="L2" s="30" t="inlineStr">
        <is>
          <t>2026-10-07</t>
        </is>
      </c>
      <c r="M2" s="31" t="inlineStr">
        <is>
          <t>摘要与贡献写入下一命令窗口 +7.2% 的负面结果及原因；增益量化（9.1%/4.5%，扣除噪声地板 18.8%/9.8%；oracle 差距 42–45%）；删去 unified view</t>
        </is>
      </c>
    </row>
    <row r="3" ht="29.85" customHeight="1" s="22">
      <c r="A3" s="24" t="n">
        <v>2</v>
      </c>
      <c r="B3" s="24" t="inlineStr">
        <is>
          <t>P0</t>
        </is>
      </c>
      <c r="C3" s="25" t="inlineStr">
        <is>
          <t>符号与命名</t>
        </is>
      </c>
      <c r="D3" s="25" t="inlineStr">
        <is>
          <t>修正 τ、D、q、A/C/H 的符号冲突；预测器改用描述性名称；增加预测器特征表</t>
        </is>
      </c>
      <c r="E3" s="26" t="inlineStr">
        <is>
          <t>II、III</t>
        </is>
      </c>
      <c r="F3" s="25" t="inlineStr">
        <is>
          <t>可读性差、易混淆</t>
        </is>
      </c>
      <c r="G3" s="27" t="inlineStr">
        <is>
          <t>改写</t>
        </is>
      </c>
      <c r="H3" s="27" t="inlineStr">
        <is>
          <t>低</t>
        </is>
      </c>
      <c r="I3" s="27" t="inlineStr">
        <is>
          <t>是</t>
        </is>
      </c>
      <c r="J3" s="28" t="inlineStr">
        <is>
          <t>已完成</t>
        </is>
      </c>
      <c r="K3" s="29" t="inlineStr">
        <is>
          <t>Claude Code（待 Ruifeng 审阅）</t>
        </is>
      </c>
      <c r="L3" s="30" t="inlineStr">
        <is>
          <t>2026-10-07</t>
        </is>
      </c>
      <c r="M3" s="31" t="inlineStr">
        <is>
          <t>τ 仅表示等待，滤波尺度改 ℓ；D→T_f，条件集→𝒦；q_τ→v_ℓ；c_R→ũ；预测器改为 Persist/Current/Filter/Lag/Filter+B3/Lag+B3/F+B3+Input；新增 Table I 特征表</t>
        </is>
      </c>
    </row>
    <row r="4" ht="15" customHeight="1" s="22">
      <c r="A4" s="24" t="n">
        <v>3</v>
      </c>
      <c r="B4" s="24" t="inlineStr">
        <is>
          <t>P0</t>
        </is>
      </c>
      <c r="C4" s="25" t="inlineStr">
        <is>
          <t>精简篇幅</t>
        </is>
      </c>
      <c r="D4" s="25" t="inlineStr">
        <is>
          <t>归一化、滞后填充等细节移到仓库；散落的限定语集中到 V-E</t>
        </is>
      </c>
      <c r="E4" s="26" t="inlineStr">
        <is>
          <t>IV-A、V、V-E</t>
        </is>
      </c>
      <c r="F4" s="25" t="inlineStr">
        <is>
          <t>可读性差</t>
        </is>
      </c>
      <c r="G4" s="27" t="inlineStr">
        <is>
          <t>改写</t>
        </is>
      </c>
      <c r="H4" s="27" t="inlineStr">
        <is>
          <t>低</t>
        </is>
      </c>
      <c r="I4" s="27" t="inlineStr">
        <is>
          <t>是</t>
        </is>
      </c>
      <c r="J4" s="28" t="inlineStr">
        <is>
          <t>已完成</t>
        </is>
      </c>
      <c r="K4" s="29" t="inlineStr">
        <is>
          <t>Claude Code（待 Ruifeng 审阅）</t>
        </is>
      </c>
      <c r="L4" s="30" t="inlineStr">
        <is>
          <t>2026-10-07</t>
        </is>
      </c>
      <c r="M4" s="31" t="inlineStr">
        <is>
          <t>细节移到 paper/supplementary_details.md；原 Table IV 移出正文；限定语集中到 V-G；全文由 7 页缩到 6 页（含参考文献）</t>
        </is>
      </c>
    </row>
    <row r="5" ht="29.85" customHeight="1" s="22">
      <c r="A5" s="24" t="n">
        <v>4</v>
      </c>
      <c r="B5" s="24" t="inlineStr">
        <is>
          <t>P0</t>
        </is>
      </c>
      <c r="C5" s="26" t="inlineStr">
        <is>
          <t>MC 文献定位</t>
        </is>
      </c>
      <c r="D5" s="25" t="inlineStr">
        <is>
          <t>补充带记忆的接收机、guard interval 优化、序贯检测/最优停止相关文献并对比</t>
        </is>
      </c>
      <c r="E5" s="26" t="inlineStr">
        <is>
          <t>I</t>
        </is>
      </c>
      <c r="F5" s="25" t="inlineStr">
        <is>
          <t>定位不清</t>
        </is>
      </c>
      <c r="G5" s="27" t="inlineStr">
        <is>
          <t>改写</t>
        </is>
      </c>
      <c r="H5" s="27" t="inlineStr">
        <is>
          <t>低</t>
        </is>
      </c>
      <c r="I5" s="27" t="inlineStr">
        <is>
          <t>是</t>
        </is>
      </c>
      <c r="J5" s="28" t="inlineStr">
        <is>
          <t>已完成</t>
        </is>
      </c>
      <c r="K5" s="29" t="inlineStr">
        <is>
          <t>Claude Code（待 Ruifeng 审阅）</t>
        </is>
      </c>
      <c r="L5" s="30" t="inlineStr">
        <is>
          <t>2026-10-07</t>
        </is>
      </c>
      <c r="M5" s="31" t="inlineStr">
        <is>
          <t>新增 Kilinc&amp;Akan 2013、Mosayebi 2014、Cao 2020、Tung&amp;Mitra 2018、Wald 1945、Poor&amp;Hadjiliadis 2009 并在引言对比；3 篇未附 DOI，投稿前请核对</t>
        </is>
      </c>
    </row>
    <row r="6" ht="29.85" customHeight="1" s="22">
      <c r="A6" s="24" t="n">
        <v>5</v>
      </c>
      <c r="B6" s="24" t="inlineStr">
        <is>
          <t>P1</t>
        </is>
      </c>
      <c r="C6" s="25" t="inlineStr">
        <is>
          <t>决策部分新指标</t>
        </is>
      </c>
      <c r="D6" s="25" t="inlineStr">
        <is>
          <t>报告 oracle 差距缩小比例（33–38%）；可靠性约束改为逐历史满足；以可靠性-时延前沿作主图</t>
        </is>
      </c>
      <c r="E6" s="26" t="inlineStr">
        <is>
          <t>II-C、IV-B、V-C、Table III、Fig. 3</t>
        </is>
      </c>
      <c r="F6" s="25" t="inlineStr">
        <is>
          <t>增益显得小</t>
        </is>
      </c>
      <c r="G6" s="27" t="inlineStr">
        <is>
          <t>新分析</t>
        </is>
      </c>
      <c r="H6" s="27" t="inlineStr">
        <is>
          <t>中</t>
        </is>
      </c>
      <c r="I6" s="27" t="inlineStr">
        <is>
          <t>是</t>
        </is>
      </c>
      <c r="J6" s="28" t="inlineStr">
        <is>
          <t>已完成</t>
        </is>
      </c>
      <c r="K6" s="29" t="inlineStr">
        <is>
          <t>Claude Code（待 Ruifeng 审阅）</t>
        </is>
      </c>
      <c r="L6" s="30" t="inlineStr">
        <is>
          <t>2026-10-07</t>
        </is>
      </c>
      <c r="M6" s="31" t="inlineStr">
        <is>
          <t>b3_waiting_frontier.py：合并约束下 oracle 差距弥合 33%/38%；逐历史约束目标 0.94 时全部规则 20/20 达标，弥合 42–45%（7.2–7.7 min）；新 Fig. 3(a,b) 前沿、新 Table IV</t>
        </is>
      </c>
    </row>
    <row r="7" ht="29.85" customHeight="1" s="22">
      <c r="A7" s="24" t="n">
        <v>6</v>
      </c>
      <c r="B7" s="24" t="inlineStr">
        <is>
          <t>P1</t>
        </is>
      </c>
      <c r="C7" s="25" t="inlineStr">
        <is>
          <t>预测部分新指标</t>
        </is>
      </c>
      <c r="D7" s="25" t="inlineStr">
        <is>
          <t>预测时域加长到 h = 20、30 min；扣除噪声地板后报告 skill score；改用与决策相关的误差指标</t>
        </is>
      </c>
      <c r="E7" s="26" t="inlineStr">
        <is>
          <t>IV-B、V-A/B、Table II</t>
        </is>
      </c>
      <c r="F7" s="25" t="inlineStr">
        <is>
          <t>增益显得小</t>
        </is>
      </c>
      <c r="G7" s="27" t="inlineStr">
        <is>
          <t>新分析</t>
        </is>
      </c>
      <c r="H7" s="27" t="inlineStr">
        <is>
          <t>中</t>
        </is>
      </c>
      <c r="I7" s="27" t="inlineStr">
        <is>
          <t>否</t>
        </is>
      </c>
      <c r="J7" s="28" t="inlineStr">
        <is>
          <t>已完成</t>
        </is>
      </c>
      <c r="K7" s="29" t="inlineStr">
        <is>
          <t>Claude Code（待 Ruifeng 审阅）</t>
        </is>
      </c>
      <c r="L7" s="30" t="inlineStr">
        <is>
          <t>2026-10-07</t>
        </is>
      </c>
      <c r="M7" s="31" t="inlineStr">
        <is>
          <t>nested_extensions.py：h=20/30；噪声地板 0.006–0.009；Filter+B3 skill 15.5%(10 min)、21%(20–30 min)；决策相关指标=半衰减穿越平衡准确率；Table III(c)</t>
        </is>
      </c>
    </row>
    <row r="8" ht="29.85" customHeight="1" s="22">
      <c r="A8" s="24" t="n">
        <v>7</v>
      </c>
      <c r="B8" s="24" t="inlineStr">
        <is>
          <t>P1</t>
        </is>
      </c>
      <c r="C8" s="25" t="inlineStr">
        <is>
          <t>统计与设定依据</t>
        </is>
      </c>
      <c r="D8" s="25" t="inlineStr">
        <is>
          <t>预测结果加 bootstrap 区间；补 oracle 成功率随 κ 变化的曲线；说明 κ 和 D 的取值依据</t>
        </is>
      </c>
      <c r="E8" s="26" t="inlineStr">
        <is>
          <t>II-C、V-A、V-E</t>
        </is>
      </c>
      <c r="F8" s="25" t="inlineStr">
        <is>
          <t>统计依据不足、设定显得人为</t>
        </is>
      </c>
      <c r="G8" s="27" t="inlineStr">
        <is>
          <t>新分析</t>
        </is>
      </c>
      <c r="H8" s="27" t="inlineStr">
        <is>
          <t>低–中</t>
        </is>
      </c>
      <c r="I8" s="27" t="inlineStr">
        <is>
          <t>否</t>
        </is>
      </c>
      <c r="J8" s="28" t="inlineStr">
        <is>
          <t>已完成</t>
        </is>
      </c>
      <c r="K8" s="29" t="inlineStr">
        <is>
          <t>Claude Code（待 Ruifeng 审阅）</t>
        </is>
      </c>
      <c r="L8" s="30" t="inlineStr">
        <is>
          <t>2026-10-07</t>
        </is>
      </c>
      <c r="M8" s="31" t="inlineStr">
        <is>
          <t>细胞分层 bootstrap 区间（Table III(c) 与正文）；oracle 成功率随 κ（0.30–0.70）写入 Sec. II，κ=0.5 为 &gt;99% 的最大值；T_f=140 依据及 160–260 敏感性</t>
        </is>
      </c>
    </row>
    <row r="9" ht="29.85" customHeight="1" s="22">
      <c r="A9" s="24" t="n">
        <v>8</v>
      </c>
      <c r="B9" s="24" t="inlineStr">
        <is>
          <t>P2</t>
        </is>
      </c>
      <c r="C9" s="25" t="inlineStr">
        <is>
          <t>延迟 d 与条件图</t>
        </is>
      </c>
      <c r="D9" s="25" t="inlineStr">
        <is>
          <t>引入传输延迟 d 和 B3-predictive 规则；扫描 d、采样间隔、噪声，得到条件图；对照组用“smoothed + 斜率”</t>
        </is>
      </c>
      <c r="E9" s="26" t="inlineStr">
        <is>
          <t>II、III-B、V-C（新小节）、Fig. 3</t>
        </is>
      </c>
      <c r="F9" s="25" t="inlineStr">
        <is>
          <t>前后两部分脱节；何时需要机理模型</t>
        </is>
      </c>
      <c r="G9" s="27" t="inlineStr">
        <is>
          <t>新仿真</t>
        </is>
      </c>
      <c r="H9" s="27" t="inlineStr">
        <is>
          <t>高</t>
        </is>
      </c>
      <c r="I9" s="27" t="inlineStr">
        <is>
          <t>是</t>
        </is>
      </c>
      <c r="J9" s="28" t="inlineStr">
        <is>
          <t>已完成</t>
        </is>
      </c>
      <c r="K9" s="29" t="inlineStr">
        <is>
          <t>Claude Code（待 Ruifeng 审阅）</t>
        </is>
      </c>
      <c r="L9" s="30" t="inlineStr">
        <is>
          <t>2026-10-07</t>
        </is>
      </c>
      <c r="M9" s="31" t="inlineStr">
        <is>
          <t>b3_delay_map.py：d×Δ×噪声共 45 格×20 次划分；nowcast 在 d≥20 失效；高噪声时 B3 预测快 0.9–5.5 min，低噪声/密集采样时平滑+斜率更快；新 Fig. 3(c,d)</t>
        </is>
      </c>
    </row>
    <row r="10" ht="29.85" customHeight="1" s="22">
      <c r="A10" s="24" t="n">
        <v>9</v>
      </c>
      <c r="B10" s="24" t="inlineStr">
        <is>
          <t>P2</t>
        </is>
      </c>
      <c r="C10" s="25" t="inlineStr">
        <is>
          <t>修补 next-command 窗口</t>
        </is>
      </c>
      <c r="D10" s="25" t="inlineStr">
        <is>
          <t>按阶段门控（O/M 切换或加权）或残差式混合模型，纠正脉冲起始处的偏差</t>
        </is>
      </c>
      <c r="E10" s="26" t="inlineStr">
        <is>
          <t>III-A、V-A/B</t>
        </is>
      </c>
      <c r="F10" s="25" t="inlineStr">
        <is>
          <t>最大的负面结果</t>
        </is>
      </c>
      <c r="G10" s="27" t="inlineStr">
        <is>
          <t>新方法</t>
        </is>
      </c>
      <c r="H10" s="27" t="inlineStr">
        <is>
          <t>中</t>
        </is>
      </c>
      <c r="I10" s="27" t="inlineStr">
        <is>
          <t>否</t>
        </is>
      </c>
      <c r="J10" s="28" t="inlineStr">
        <is>
          <t>已完成</t>
        </is>
      </c>
      <c r="K10" s="29" t="inlineStr">
        <is>
          <t>Claude Code（待 Ruifeng 审阅）</t>
        </is>
      </c>
      <c r="L10" s="30" t="inlineStr">
        <is>
          <t>2026-10-07</t>
        </is>
      </c>
      <c r="M10" s="31" t="inlineStr">
        <is>
          <t>负面结果：阶段切换被训练数据否决，阶段交互权重使下一命令误差升至 0.03571；训练协议无"长命令后探测"情形，正文如实报告</t>
        </is>
      </c>
    </row>
    <row r="11" ht="29.85" customHeight="1" s="22">
      <c r="A11" s="24" t="n">
        <v>10</v>
      </c>
      <c r="B11" s="24" t="inlineStr">
        <is>
          <t>P2</t>
        </is>
      </c>
      <c r="C11" s="25" t="inlineStr">
        <is>
          <t>真实数据决策验证</t>
        </is>
      </c>
      <c r="D11" s="25" t="inlineStr">
        <is>
          <t>用 3/20 脉冲和 mixed 协议中的第二个脉冲作为自然 probe，在真实数据上评估等待规则</t>
        </is>
      </c>
      <c r="E11" s="26" t="inlineStr">
        <is>
          <t>V（新小节）</t>
        </is>
      </c>
      <c r="F11" s="25" t="inlineStr">
        <is>
          <t>决策只有仿真结果</t>
        </is>
      </c>
      <c r="G11" s="27" t="inlineStr">
        <is>
          <t>新分析</t>
        </is>
      </c>
      <c r="H11" s="27" t="inlineStr">
        <is>
          <t>中–高</t>
        </is>
      </c>
      <c r="I11" s="27" t="inlineStr">
        <is>
          <t>否</t>
        </is>
      </c>
      <c r="J11" s="28" t="inlineStr">
        <is>
          <t>已完成</t>
        </is>
      </c>
      <c r="K11" s="29" t="inlineStr">
        <is>
          <t>Claude Code（待 Ruifeng 审阅）</t>
        </is>
      </c>
      <c r="L11" s="30" t="inlineStr">
        <is>
          <t>2026-10-07</t>
        </is>
      </c>
      <c r="M11" s="31" t="inlineStr">
        <is>
          <t>natural_probe.py：25 ng/ml 3/20 后续脉冲与 mixed 第三脉冲；无错误"就绪"判定，3/20 首个探测 19% 被漏判；B3 高估长命令后恢复（31% vs 4%）。只评价就绪判定，不评价完成时间</t>
        </is>
      </c>
    </row>
    <row r="12" ht="29.85" customHeight="1" s="22">
      <c r="A12" s="24" t="n">
        <v>11</v>
      </c>
      <c r="B12" s="24" t="inlineStr">
        <is>
          <t>P3</t>
        </is>
      </c>
      <c r="C12" s="25" t="inlineStr">
        <is>
          <t>可靠性保证</t>
        </is>
      </c>
      <c r="D12" s="25" t="inlineStr">
        <is>
          <t>用 conformal risk control 校准停止阈值，给出有限样本可靠性保证</t>
        </is>
      </c>
      <c r="E12" s="26" t="inlineStr">
        <is>
          <t>III-B、V-C</t>
        </is>
      </c>
      <c r="F12" s="26" t="inlineStr">
        <is>
          <t>90% 目标无覆盖保证</t>
        </is>
      </c>
      <c r="G12" s="27" t="inlineStr">
        <is>
          <t>新方法</t>
        </is>
      </c>
      <c r="H12" s="27" t="inlineStr">
        <is>
          <t>高</t>
        </is>
      </c>
      <c r="I12" s="27" t="inlineStr">
        <is>
          <t>否</t>
        </is>
      </c>
      <c r="J12" s="28" t="inlineStr">
        <is>
          <t>暂缓</t>
        </is>
      </c>
      <c r="K12" s="29" t="inlineStr">
        <is>
          <t>Claude Code（待 Ruifeng 审阅）</t>
        </is>
      </c>
      <c r="L12" s="30" t="inlineStr">
        <is>
          <t>2026-10-07</t>
        </is>
      </c>
      <c r="M12" s="31" t="inlineStr">
        <is>
          <t>留给期刊版</t>
        </is>
      </c>
    </row>
    <row r="13" ht="15" customHeight="1" s="22">
      <c r="A13" s="24" t="n">
        <v>12</v>
      </c>
      <c r="B13" s="24" t="inlineStr">
        <is>
          <t>P3</t>
        </is>
      </c>
      <c r="C13" s="25" t="inlineStr">
        <is>
          <t>策略优化</t>
        </is>
      </c>
      <c r="D13" s="25" t="inlineStr">
        <is>
          <t>建模为 POMDP/最优停止，联合优化幅度、时长和时机</t>
        </is>
      </c>
      <c r="E13" s="26" t="inlineStr">
        <is>
          <t>III-B、V</t>
        </is>
      </c>
      <c r="F13" s="25" t="inlineStr">
        <is>
          <t>只比较了阈值规则</t>
        </is>
      </c>
      <c r="G13" s="27" t="inlineStr">
        <is>
          <t>新方法</t>
        </is>
      </c>
      <c r="H13" s="27" t="inlineStr">
        <is>
          <t>高</t>
        </is>
      </c>
      <c r="I13" s="27" t="inlineStr">
        <is>
          <t>否</t>
        </is>
      </c>
      <c r="J13" s="28" t="inlineStr">
        <is>
          <t>暂缓</t>
        </is>
      </c>
      <c r="K13" s="29" t="inlineStr">
        <is>
          <t>Claude Code（待 Ruifeng 审阅）</t>
        </is>
      </c>
      <c r="L13" s="30" t="inlineStr">
        <is>
          <t>2026-10-07</t>
        </is>
      </c>
      <c r="M13" s="31" t="inlineStr">
        <is>
          <t>留给期刊版</t>
        </is>
      </c>
    </row>
    <row r="14" ht="15" customHeight="1" s="22">
      <c r="A14" s="24" t="n">
        <v>13</v>
      </c>
      <c r="B14" s="24" t="inlineStr">
        <is>
          <t>P3</t>
        </is>
      </c>
      <c r="C14" s="25" t="inlineStr">
        <is>
          <t>多细胞接收机</t>
        </is>
      </c>
      <c r="D14" s="25" t="inlineStr">
        <is>
          <t>利用细胞异质性做接收机选择或调度；群体读出降低观测噪声</t>
        </is>
      </c>
      <c r="E14" s="26" t="inlineStr">
        <is>
          <t>II、V</t>
        </is>
      </c>
      <c r="F14" s="25" t="inlineStr">
        <is>
          <t>缺少系统层面视角</t>
        </is>
      </c>
      <c r="G14" s="27" t="inlineStr">
        <is>
          <t>新仿真</t>
        </is>
      </c>
      <c r="H14" s="27" t="inlineStr">
        <is>
          <t>高</t>
        </is>
      </c>
      <c r="I14" s="27" t="inlineStr">
        <is>
          <t>否</t>
        </is>
      </c>
      <c r="J14" s="28" t="inlineStr">
        <is>
          <t>暂缓</t>
        </is>
      </c>
      <c r="K14" s="29" t="inlineStr">
        <is>
          <t>Claude Code（待 Ruifeng 审阅）</t>
        </is>
      </c>
      <c r="L14" s="30" t="inlineStr">
        <is>
          <t>2026-10-07</t>
        </is>
      </c>
      <c r="M14" s="31" t="inlineStr">
        <is>
          <t>留给期刊版</t>
        </is>
      </c>
    </row>
    <row r="15" ht="29.85" customHeight="1" s="22">
      <c r="A15" s="24" t="n">
        <v>14</v>
      </c>
      <c r="B15" s="24" t="inlineStr">
        <is>
          <t>P3</t>
        </is>
      </c>
      <c r="C15" s="25" t="inlineStr">
        <is>
          <t>模型错配检验</t>
        </is>
      </c>
      <c r="D15" s="25" t="inlineStr">
        <is>
          <t>以其他候选网络结构作为“真实系统”，B3 作为错配模型，检验等待规则的稳健性</t>
        </is>
      </c>
      <c r="E15" s="26" t="inlineStr">
        <is>
          <t>V-D</t>
        </is>
      </c>
      <c r="F15" s="25" t="inlineStr">
        <is>
          <t>只有单一模型结构</t>
        </is>
      </c>
      <c r="G15" s="27" t="inlineStr">
        <is>
          <t>新仿真</t>
        </is>
      </c>
      <c r="H15" s="27" t="inlineStr">
        <is>
          <t>中</t>
        </is>
      </c>
      <c r="I15" s="27" t="inlineStr">
        <is>
          <t>否</t>
        </is>
      </c>
      <c r="J15" s="28" t="inlineStr">
        <is>
          <t>暂缓</t>
        </is>
      </c>
      <c r="K15" s="29" t="inlineStr">
        <is>
          <t>Claude Code（待 Ruifeng 审阅）</t>
        </is>
      </c>
      <c r="L15" s="30" t="inlineStr">
        <is>
          <t>2026-10-07</t>
        </is>
      </c>
      <c r="M15" s="31" t="inlineStr">
        <is>
          <t>需要 B1/B2 等其他结构的模型文件与后验，作者仓库固定提交只含 B3；留给期刊版</t>
        </is>
      </c>
    </row>
    <row r="16" ht="29.85" customHeight="1" s="22">
      <c r="A16" s="24" t="n">
        <v>15</v>
      </c>
      <c r="B16" s="24" t="inlineStr">
        <is>
          <t>P3</t>
        </is>
      </c>
      <c r="C16" s="25" t="inlineStr">
        <is>
          <t>前瞻实验</t>
        </is>
      </c>
      <c r="D16" s="25" t="inlineStr">
        <is>
          <t>随机化 3/30 min 预处理、同 session 对照、以 session 为单位计数</t>
        </is>
      </c>
      <c r="E16" s="26" t="inlineStr">
        <is>
          <t>VI</t>
        </is>
      </c>
      <c r="F16" s="25" t="inlineStr">
        <is>
          <t>缺少实验端验证</t>
        </is>
      </c>
      <c r="G16" s="27" t="inlineStr">
        <is>
          <t>新实验</t>
        </is>
      </c>
      <c r="H16" s="27" t="inlineStr">
        <is>
          <t>很高</t>
        </is>
      </c>
      <c r="I16" s="27" t="inlineStr">
        <is>
          <t>否</t>
        </is>
      </c>
      <c r="J16" s="28" t="inlineStr">
        <is>
          <t>暂缓</t>
        </is>
      </c>
      <c r="K16" s="29" t="inlineStr">
        <is>
          <t>Claude Code（待 Ruifeng 审阅）</t>
        </is>
      </c>
      <c r="L16" s="30" t="inlineStr">
        <is>
          <t>2026-10-07</t>
        </is>
      </c>
      <c r="M16" s="31" t="inlineStr">
        <is>
          <t>需湿实验；见 AI_MC_Complete_Validation_Plan_ZH.md 与 validation_kit/</t>
        </is>
      </c>
    </row>
  </sheetData>
  <autoFilter ref="A1:M16"/>
  <conditionalFormatting sqref="B2:B100">
    <cfRule type="expression" rank="0" priority="2" equalAverage="0" aboveAverage="0" dxfId="9" text="" percent="0" bottom="0">
      <formula>$B2="P0"</formula>
    </cfRule>
    <cfRule type="expression" rank="0" priority="3" equalAverage="0" aboveAverage="0" dxfId="10" text="" percent="0" bottom="0">
      <formula>$B2="P1"</formula>
    </cfRule>
    <cfRule type="expression" rank="0" priority="4" equalAverage="0" aboveAverage="0" dxfId="11" text="" percent="0" bottom="0">
      <formula>$B2="P2"</formula>
    </cfRule>
    <cfRule type="expression" rank="0" priority="5" equalAverage="0" aboveAverage="0" dxfId="12" text="" percent="0" bottom="0">
      <formula>$B2="P3"</formula>
    </cfRule>
  </conditionalFormatting>
  <conditionalFormatting sqref="J2:J100">
    <cfRule type="expression" rank="0" priority="6" equalAverage="0" aboveAverage="0" dxfId="13" text="" percent="0" bottom="0">
      <formula>$J2="已完成"</formula>
    </cfRule>
    <cfRule type="expression" rank="0" priority="7" equalAverage="0" aboveAverage="0" dxfId="14" text="" percent="0" bottom="0">
      <formula>$J2="进行中"</formula>
    </cfRule>
  </conditionalFormatting>
  <conditionalFormatting sqref="I2:I100">
    <cfRule type="expression" rank="0" priority="8" equalAverage="0" aboveAverage="0" dxfId="15" text="" percent="0" bottom="0">
      <formula>$I2="是"</formula>
    </cfRule>
  </conditionalFormatting>
  <dataValidations count="3">
    <dataValidation sqref="J2:J100" showDropDown="0" showInputMessage="0" showErrorMessage="0" allowBlank="1" type="list" errorStyle="stop" operator="between">
      <formula1>"未开始,进行中,已完成,暂缓"</formula1>
      <formula2>0</formula2>
    </dataValidation>
    <dataValidation sqref="B2:B100" showDropDown="0" showInputMessage="0" showErrorMessage="0" allowBlank="1" type="list" errorStyle="stop" operator="between">
      <formula1>"P0,P1,P2,P3"</formula1>
      <formula2>0</formula2>
    </dataValidation>
    <dataValidation sqref="I2:I100" showDropDown="0" showInputMessage="0" showErrorMessage="0" allowBlank="1" type="list" errorStyle="stop" operator="between">
      <formula1>"是,否"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1" min="1" max="1"/>
    <col width="14" customWidth="1" style="21" min="2" max="7"/>
  </cols>
  <sheetData>
    <row r="1" ht="15" customHeight="1" s="22">
      <c r="A1" s="32" t="inlineStr">
        <is>
          <t>优先级</t>
        </is>
      </c>
      <c r="B1" s="32" t="inlineStr">
        <is>
          <t>事项数</t>
        </is>
      </c>
      <c r="C1" s="32" t="inlineStr">
        <is>
          <t>已完成</t>
        </is>
      </c>
      <c r="D1" s="32" t="inlineStr">
        <is>
          <t>进行中</t>
        </is>
      </c>
      <c r="E1" s="32" t="inlineStr">
        <is>
          <t>未开始</t>
        </is>
      </c>
      <c r="F1" s="32" t="inlineStr">
        <is>
          <t>暂缓</t>
        </is>
      </c>
      <c r="G1" s="32" t="inlineStr">
        <is>
          <t>完成率</t>
        </is>
      </c>
    </row>
    <row r="2" ht="15" customHeight="1" s="22">
      <c r="A2" s="33" t="inlineStr">
        <is>
          <t>P0 必做</t>
        </is>
      </c>
      <c r="B2" s="34">
        <f>COUNTIF(补强清单!$B$2:$B$100,"P0")</f>
        <v/>
      </c>
      <c r="C2" s="34">
        <f>COUNTIFS(补强清单!$B$2:$B$100,"P0",补强清单!$J$2:$J$100,"已完成")</f>
        <v/>
      </c>
      <c r="D2" s="34">
        <f>COUNTIFS(补强清单!$B$2:$B$100,"P0",补强清单!$J$2:$J$100,"进行中")</f>
        <v/>
      </c>
      <c r="E2" s="34">
        <f>COUNTIFS(补强清单!$B$2:$B$100,"P0",补强清单!$J$2:$J$100,"未开始")</f>
        <v/>
      </c>
      <c r="F2" s="34">
        <f>COUNTIFS(补强清单!$B$2:$B$100,"P0",补强清单!$J$2:$J$100,"暂缓")</f>
        <v/>
      </c>
      <c r="G2" s="35">
        <f>IFERROR(C2/B2,0)</f>
        <v/>
      </c>
    </row>
    <row r="3" ht="15" customHeight="1" s="22">
      <c r="A3" s="33" t="inlineStr">
        <is>
          <t>P1 高价值</t>
        </is>
      </c>
      <c r="B3" s="34">
        <f>COUNTIF(补强清单!$B$2:$B$100,"P1")</f>
        <v/>
      </c>
      <c r="C3" s="34">
        <f>COUNTIFS(补强清单!$B$2:$B$100,"P1",补强清单!$J$2:$J$100,"已完成")</f>
        <v/>
      </c>
      <c r="D3" s="34">
        <f>COUNTIFS(补强清单!$B$2:$B$100,"P1",补强清单!$J$2:$J$100,"进行中")</f>
        <v/>
      </c>
      <c r="E3" s="34">
        <f>COUNTIFS(补强清单!$B$2:$B$100,"P1",补强清单!$J$2:$J$100,"未开始")</f>
        <v/>
      </c>
      <c r="F3" s="34">
        <f>COUNTIFS(补强清单!$B$2:$B$100,"P1",补强清单!$J$2:$J$100,"暂缓")</f>
        <v/>
      </c>
      <c r="G3" s="35">
        <f>IFERROR(C3/B3,0)</f>
        <v/>
      </c>
    </row>
    <row r="4" ht="15" customHeight="1" s="22">
      <c r="A4" s="33" t="inlineStr">
        <is>
          <t>P2 核心增量</t>
        </is>
      </c>
      <c r="B4" s="34">
        <f>COUNTIF(补强清单!$B$2:$B$100,"P2")</f>
        <v/>
      </c>
      <c r="C4" s="34">
        <f>COUNTIFS(补强清单!$B$2:$B$100,"P2",补强清单!$J$2:$J$100,"已完成")</f>
        <v/>
      </c>
      <c r="D4" s="34">
        <f>COUNTIFS(补强清单!$B$2:$B$100,"P2",补强清单!$J$2:$J$100,"进行中")</f>
        <v/>
      </c>
      <c r="E4" s="34">
        <f>COUNTIFS(补强清单!$B$2:$B$100,"P2",补强清单!$J$2:$J$100,"未开始")</f>
        <v/>
      </c>
      <c r="F4" s="34">
        <f>COUNTIFS(补强清单!$B$2:$B$100,"P2",补强清单!$J$2:$J$100,"暂缓")</f>
        <v/>
      </c>
      <c r="G4" s="35">
        <f>IFERROR(C4/B4,0)</f>
        <v/>
      </c>
    </row>
    <row r="5" ht="15" customHeight="1" s="22">
      <c r="A5" s="33" t="inlineStr">
        <is>
          <t>P3 期刊版</t>
        </is>
      </c>
      <c r="B5" s="34">
        <f>COUNTIF(补强清单!$B$2:$B$100,"P3")</f>
        <v/>
      </c>
      <c r="C5" s="34">
        <f>COUNTIFS(补强清单!$B$2:$B$100,"P3",补强清单!$J$2:$J$100,"已完成")</f>
        <v/>
      </c>
      <c r="D5" s="34">
        <f>COUNTIFS(补强清单!$B$2:$B$100,"P3",补强清单!$J$2:$J$100,"进行中")</f>
        <v/>
      </c>
      <c r="E5" s="34">
        <f>COUNTIFS(补强清单!$B$2:$B$100,"P3",补强清单!$J$2:$J$100,"未开始")</f>
        <v/>
      </c>
      <c r="F5" s="34">
        <f>COUNTIFS(补强清单!$B$2:$B$100,"P3",补强清单!$J$2:$J$100,"暂缓")</f>
        <v/>
      </c>
      <c r="G5" s="35">
        <f>IFERROR(C5/B5,0)</f>
        <v/>
      </c>
    </row>
    <row r="6" ht="15" customHeight="1" s="22">
      <c r="A6" s="36" t="inlineStr">
        <is>
          <t>合计</t>
        </is>
      </c>
      <c r="B6" s="37">
        <f>SUM(B2:B5)</f>
        <v/>
      </c>
      <c r="C6" s="37">
        <f>SUM(C2:C5)</f>
        <v/>
      </c>
      <c r="D6" s="37">
        <f>SUM(D2:D5)</f>
        <v/>
      </c>
      <c r="E6" s="37">
        <f>SUM(E2:E5)</f>
        <v/>
      </c>
      <c r="F6" s="37">
        <f>SUM(F2:F5)</f>
        <v/>
      </c>
      <c r="G6" s="38">
        <f>IFERROR(C6/B6,0)</f>
        <v/>
      </c>
    </row>
    <row r="7" ht="15" customHeight="1" s="22">
      <c r="A7" s="39" t="inlineStr">
        <is>
          <t>最小必做集</t>
        </is>
      </c>
      <c r="B7" s="40">
        <f>COUNTIF(补强清单!$I$2:$I$100,"是")</f>
        <v/>
      </c>
      <c r="C7" s="40">
        <f>COUNTIFS(补强清单!$I$2:$I$100,"是",补强清单!$J$2:$J$100,"已完成")</f>
        <v/>
      </c>
      <c r="D7" s="40">
        <f>COUNTIFS(补强清单!$I$2:$I$100,"是",补强清单!$J$2:$J$100,"进行中")</f>
        <v/>
      </c>
      <c r="E7" s="40">
        <f>COUNTIFS(补强清单!$I$2:$I$100,"是",补强清单!$J$2:$J$100,"未开始")</f>
        <v/>
      </c>
      <c r="F7" s="40">
        <f>COUNTIFS(补强清单!$I$2:$I$100,"是",补强清单!$J$2:$J$100,"暂缓")</f>
        <v/>
      </c>
      <c r="G7" s="41">
        <f>IFERROR(C7/B7,0)</f>
        <v/>
      </c>
    </row>
    <row r="9" ht="15" customHeight="1" s="22">
      <c r="A9" s="42" t="inlineStr">
        <is>
          <t>最小必做集 = P0 全部 + 决策部分新指标（逐历史约束、oracle 差距）+ 延迟 d 条件图。</t>
        </is>
      </c>
    </row>
    <row r="10" ht="15" customHeight="1" s="22">
      <c r="A10" s="42" t="inlineStr">
        <is>
          <t>本表全部由公式计算，只需在“补强清单”中更新状态。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1" min="1" max="1"/>
    <col width="80" customWidth="1" style="21" min="2" max="2"/>
  </cols>
  <sheetData>
    <row r="1" ht="29.85" customHeight="1" s="22">
      <c r="A1" s="43" t="inlineStr">
        <is>
          <t>用途</t>
        </is>
      </c>
      <c r="B1" s="25" t="inlineStr">
        <is>
          <t>论文《Task-Aware Reuse of Cellular Molecular Receivers》的补强清单，按投入产出比分为 P0–P3 四级。</t>
        </is>
      </c>
    </row>
    <row r="2" ht="15" customHeight="1" s="22">
      <c r="A2" s="43" t="inlineStr">
        <is>
          <t>需要填写的列</t>
        </is>
      </c>
      <c r="B2" s="25" t="inlineStr">
        <is>
          <t>“补强清单”中浅黄色的列：状态（下拉选择）、负责人、截止日期（yyyy-mm-dd）、备注。</t>
        </is>
      </c>
    </row>
    <row r="3" ht="15" customHeight="1" s="22">
      <c r="A3" s="43" t="inlineStr">
        <is>
          <t>填写示例</t>
        </is>
      </c>
      <c r="B3" s="25" t="inlineStr">
        <is>
          <t>状态 = 进行中；负责人 = Ruifeng；截止日期 = 2026-10-14；备注 = 已完成符号表，待改 Table II</t>
        </is>
      </c>
    </row>
    <row r="4" ht="29.85" customHeight="1" s="22">
      <c r="A4" s="43" t="inlineStr">
        <is>
          <t>优先级</t>
        </is>
      </c>
      <c r="B4" s="26" t="inlineStr">
        <is>
          <t>P0 必做（只需改写）；P1 高价值（现有数据新分析）；P2 核心增量（新仿真/新方法）；P3 留给期刊版。</t>
        </is>
      </c>
    </row>
    <row r="5" ht="15" customHeight="1" s="22">
      <c r="A5" s="43" t="inlineStr">
        <is>
          <t>预估工作量</t>
        </is>
      </c>
      <c r="B5" s="25" t="inlineStr">
        <is>
          <t>低 / 中 / 高 / 很高，为粗略的相对估计，不是精确工时。</t>
        </is>
      </c>
    </row>
    <row r="6" ht="15" customHeight="1" s="22">
      <c r="A6" s="43" t="inlineStr">
        <is>
          <t>原则</t>
        </is>
      </c>
      <c r="B6" s="25" t="inlineStr">
        <is>
          <t>所有新增分析先冻结设定再运行；原有结果全部保留，新结果作为新增冻结分析报告。</t>
        </is>
      </c>
    </row>
    <row r="7" ht="15" customHeight="1" s="22">
      <c r="A7" s="43" t="inlineStr">
        <is>
          <t>汇总</t>
        </is>
      </c>
      <c r="B7" s="25" t="inlineStr">
        <is>
          <t>“进度汇总”按优先级和最小必做集自动统计完成率；新增行请保持在第 100 行以内。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2026-10-07T16:49:21Z</dcterms:created>
  <dcterms:modified xmlns:dcterms="http://purl.org/dc/terms/" xmlns:xsi="http://www.w3.org/2001/XMLSchema-instance" xsi:type="dcterms:W3CDTF">2026-10-07T17:52:03Z</dcterms:modified>
  <cp:revision>0</cp:revision>
</cp:coreProperties>
</file>